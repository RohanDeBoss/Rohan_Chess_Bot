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emplestowecvicedu-my.sharepoint.com/personal/ric0016_tc_vic_edu_au/Documents/Desktop/Coding/Rohan_Chess_Bot/"/>
    </mc:Choice>
  </mc:AlternateContent>
  <xr:revisionPtr revIDLastSave="100" documentId="13_ncr:1_{47CAB578-ED10-431A-9D22-5C1DBF858A21}" xr6:coauthVersionLast="47" xr6:coauthVersionMax="47" xr10:uidLastSave="{4A248AC5-5028-49AB-BCC2-425E98C5A0AE}"/>
  <bookViews>
    <workbookView xWindow="-109" yWindow="-109" windowWidth="21164" windowHeight="11291" xr2:uid="{32A029A6-4FBE-439A-A203-1D064A31895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1" i="1" l="1"/>
  <c r="C70" i="1"/>
  <c r="C69" i="1"/>
  <c r="C68" i="1"/>
  <c r="B68" i="1"/>
  <c r="B54" i="1"/>
  <c r="B53" i="1"/>
  <c r="B65" i="1"/>
  <c r="B52" i="1"/>
  <c r="B51" i="1"/>
  <c r="B50" i="1"/>
  <c r="B49" i="1"/>
  <c r="B48" i="1"/>
  <c r="B47" i="1"/>
  <c r="B46" i="1"/>
  <c r="B45" i="1"/>
  <c r="K36" i="1"/>
  <c r="K35" i="1"/>
  <c r="G35" i="1"/>
  <c r="K34" i="1"/>
  <c r="G34" i="1"/>
  <c r="N21" i="1"/>
  <c r="N16" i="1"/>
  <c r="N18" i="1"/>
  <c r="N17" i="1"/>
  <c r="N7" i="1"/>
  <c r="N6" i="1"/>
  <c r="N5" i="1"/>
  <c r="N4" i="1"/>
  <c r="N3" i="1"/>
</calcChain>
</file>

<file path=xl/sharedStrings.xml><?xml version="1.0" encoding="utf-8"?>
<sst xmlns="http://schemas.openxmlformats.org/spreadsheetml/2006/main" count="72" uniqueCount="36">
  <si>
    <t>Versions:</t>
  </si>
  <si>
    <t>EvilBot:</t>
  </si>
  <si>
    <t>MyBot</t>
  </si>
  <si>
    <t>Read first:</t>
  </si>
  <si>
    <t>D3: (500)*2 or 1000 Games</t>
  </si>
  <si>
    <t>v2.5 depth comparison:</t>
  </si>
  <si>
    <t>2v1</t>
  </si>
  <si>
    <t>Pair</t>
  </si>
  <si>
    <t>Results</t>
  </si>
  <si>
    <t>100 games</t>
  </si>
  <si>
    <t>3v2</t>
  </si>
  <si>
    <t>4v3</t>
  </si>
  <si>
    <t>/100</t>
  </si>
  <si>
    <t>5v4</t>
  </si>
  <si>
    <t>6v5</t>
  </si>
  <si>
    <t>7v6</t>
  </si>
  <si>
    <t>Big win</t>
  </si>
  <si>
    <t>Huge win</t>
  </si>
  <si>
    <t>Small Win</t>
  </si>
  <si>
    <t>No change!</t>
  </si>
  <si>
    <t>1000 games</t>
  </si>
  <si>
    <t>/1000</t>
  </si>
  <si>
    <t>Untested</t>
  </si>
  <si>
    <t>2 v0.4 depth compare Q depth = infinite</t>
  </si>
  <si>
    <t>2 v0.5 depth compare Q depth = infinite</t>
  </si>
  <si>
    <t>trustbot1.0</t>
  </si>
  <si>
    <t>mybot(2) v3.4.1</t>
  </si>
  <si>
    <t>125games</t>
  </si>
  <si>
    <t>d7</t>
  </si>
  <si>
    <t>d8</t>
  </si>
  <si>
    <t>New D5 battles:</t>
  </si>
  <si>
    <t>3.4.1</t>
  </si>
  <si>
    <t>5s+40ms</t>
  </si>
  <si>
    <t>Sample size</t>
  </si>
  <si>
    <t>5+0.05s</t>
  </si>
  <si>
    <t>tied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</si>
</sst>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A5A5A5"/>
      </patternFill>
    </fill>
    <fill>
      <patternFill patternType="solid">
        <fgColor rgb="FFD5F62E"/>
        <bgColor indexed="64"/>
      </patternFill>
    </fill>
  </fills>
  <borders count="2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">
    <xf numFmtId="0" fontId="0" fillId="0" borderId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5" borderId="0" applyNumberFormat="0" applyBorder="0" applyAlignment="0" applyProtection="0"/>
    <xf numFmtId="0" fontId="5" fillId="6" borderId="1" applyNumberFormat="0" applyAlignment="0" applyProtection="0"/>
  </cellStyleXfs>
  <cellXfs count="13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0" borderId="0" xfId="0" applyAlignment="1">
      <alignment horizontal="left"/>
    </xf>
    <xf numFmtId="0" fontId="2" fillId="3" borderId="0" xfId="1" applyAlignment="1">
      <alignment horizontal="right"/>
    </xf>
    <xf numFmtId="0" fontId="2" fillId="7" borderId="0" xfId="1" applyFill="1" applyAlignment="1">
      <alignment horizontal="right"/>
    </xf>
    <xf numFmtId="0" fontId="4" fillId="5" borderId="0" xfId="3" applyAlignment="1">
      <alignment horizontal="right"/>
    </xf>
    <xf numFmtId="0" fontId="3" fillId="4" borderId="0" xfId="2" applyAlignment="1">
      <alignment horizontal="right"/>
    </xf>
    <xf numFmtId="0" fontId="6" fillId="0" borderId="0" xfId="1" applyFont="1" applyFill="1" applyAlignment="1">
      <alignment horizontal="right"/>
    </xf>
    <xf numFmtId="0" fontId="6" fillId="0" borderId="0" xfId="3" applyFont="1" applyFill="1" applyAlignment="1">
      <alignment horizontal="right"/>
    </xf>
    <xf numFmtId="0" fontId="6" fillId="0" borderId="0" xfId="2" applyFont="1" applyFill="1" applyAlignment="1">
      <alignment horizontal="right"/>
    </xf>
    <xf numFmtId="0" fontId="6" fillId="0" borderId="0" xfId="0" applyFont="1" applyAlignment="1">
      <alignment horizontal="right"/>
    </xf>
    <xf numFmtId="0" fontId="5" fillId="6" borderId="1" xfId="4" applyAlignment="1">
      <alignment horizontal="right"/>
    </xf>
  </cellXfs>
  <cellStyles count="5">
    <cellStyle name="Bad" xfId="2" builtinId="27"/>
    <cellStyle name="Check Cell" xfId="4" builtinId="23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colors>
    <mruColors>
      <color rgb="FFD5F62E"/>
      <color rgb="FF0F9325"/>
      <color rgb="FFFFFF3B"/>
      <color rgb="FF089A20"/>
      <color rgb="FFFDEE95"/>
      <color rgb="FFFCE34E"/>
      <color rgb="FF00A249"/>
      <color rgb="FF00864D"/>
      <color rgb="FFA20000"/>
      <color rgb="FF02D0C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2F3CF-5A9F-4664-9D92-4BFF33076767}">
  <dimension ref="A1:AA74"/>
  <sheetViews>
    <sheetView tabSelected="1" topLeftCell="A66" zoomScale="133" workbookViewId="0">
      <selection activeCell="C75" sqref="C75"/>
    </sheetView>
  </sheetViews>
  <sheetFormatPr defaultRowHeight="14.2" x14ac:dyDescent="0.3"/>
  <cols>
    <col min="1" max="1" width="20.796875" bestFit="1" customWidth="1"/>
    <col min="2" max="2" width="18.3984375" style="1" customWidth="1"/>
    <col min="3" max="3" width="10" bestFit="1" customWidth="1"/>
    <col min="4" max="4" width="10.59765625" bestFit="1" customWidth="1"/>
    <col min="6" max="6" width="25.796875" customWidth="1"/>
    <col min="8" max="8" width="12" customWidth="1"/>
    <col min="10" max="10" width="25.796875" customWidth="1"/>
  </cols>
  <sheetData>
    <row r="1" spans="1:27" x14ac:dyDescent="0.3">
      <c r="B1" s="1" t="s">
        <v>4</v>
      </c>
      <c r="D1" t="s">
        <v>1</v>
      </c>
    </row>
    <row r="2" spans="1:27" s="1" customFormat="1" x14ac:dyDescent="0.3">
      <c r="B2" s="1" t="s">
        <v>0</v>
      </c>
      <c r="C2" s="1">
        <v>0.1</v>
      </c>
      <c r="D2" s="1">
        <v>0.2</v>
      </c>
      <c r="E2" s="1">
        <v>0.3</v>
      </c>
      <c r="F2" s="1">
        <v>0.4</v>
      </c>
      <c r="G2" s="1">
        <v>0.5</v>
      </c>
      <c r="H2" s="1">
        <v>0.6</v>
      </c>
      <c r="I2" s="1">
        <v>0.7</v>
      </c>
      <c r="J2" s="1">
        <v>0.8</v>
      </c>
      <c r="K2" s="1">
        <v>0.9</v>
      </c>
      <c r="L2" s="1">
        <v>1</v>
      </c>
      <c r="M2" s="1">
        <v>1.1000000000000001</v>
      </c>
      <c r="N2" s="1">
        <v>1.2</v>
      </c>
      <c r="O2" s="1">
        <v>1.3</v>
      </c>
      <c r="P2" s="1">
        <v>1.4</v>
      </c>
      <c r="Q2" s="1">
        <v>1.5</v>
      </c>
      <c r="R2" s="1">
        <v>1.6</v>
      </c>
      <c r="S2" s="1">
        <v>1.7</v>
      </c>
      <c r="T2" s="1">
        <v>1.8</v>
      </c>
      <c r="U2" s="1">
        <v>1.9</v>
      </c>
      <c r="V2" s="1">
        <v>2</v>
      </c>
      <c r="W2" s="1">
        <v>2.1</v>
      </c>
      <c r="X2" s="1">
        <v>2.2000000000000002</v>
      </c>
      <c r="Y2" s="1">
        <v>2.2999999999999998</v>
      </c>
      <c r="Z2" s="1">
        <v>2.4</v>
      </c>
      <c r="AA2" s="1">
        <v>2.5</v>
      </c>
    </row>
    <row r="3" spans="1:27" x14ac:dyDescent="0.3">
      <c r="A3" t="s">
        <v>2</v>
      </c>
      <c r="B3" s="1">
        <v>0.1</v>
      </c>
      <c r="C3" s="2"/>
      <c r="N3">
        <f>(0-495)*2</f>
        <v>-990</v>
      </c>
    </row>
    <row r="4" spans="1:27" x14ac:dyDescent="0.3">
      <c r="A4" t="s">
        <v>3</v>
      </c>
      <c r="B4" s="1">
        <v>0.2</v>
      </c>
      <c r="D4" s="2"/>
      <c r="N4">
        <f>(0-499)*2</f>
        <v>-998</v>
      </c>
    </row>
    <row r="5" spans="1:27" x14ac:dyDescent="0.3">
      <c r="B5" s="1">
        <v>0.3</v>
      </c>
      <c r="E5" s="2"/>
      <c r="N5">
        <f>(0-490)*2</f>
        <v>-980</v>
      </c>
    </row>
    <row r="6" spans="1:27" x14ac:dyDescent="0.3">
      <c r="B6" s="1">
        <v>0.4</v>
      </c>
      <c r="F6" s="2"/>
      <c r="N6">
        <f>28-490</f>
        <v>-462</v>
      </c>
    </row>
    <row r="7" spans="1:27" x14ac:dyDescent="0.3">
      <c r="B7" s="1">
        <v>0.5</v>
      </c>
      <c r="G7" s="2"/>
      <c r="N7">
        <f>359-567</f>
        <v>-208</v>
      </c>
    </row>
    <row r="8" spans="1:27" x14ac:dyDescent="0.3">
      <c r="B8" s="1">
        <v>0.6</v>
      </c>
      <c r="H8" s="2"/>
    </row>
    <row r="9" spans="1:27" x14ac:dyDescent="0.3">
      <c r="B9" s="1">
        <v>0.7</v>
      </c>
      <c r="I9" s="2"/>
    </row>
    <row r="10" spans="1:27" x14ac:dyDescent="0.3">
      <c r="B10" s="1">
        <v>0.8</v>
      </c>
      <c r="J10" s="2"/>
    </row>
    <row r="11" spans="1:27" x14ac:dyDescent="0.3">
      <c r="B11" s="1">
        <v>0.9</v>
      </c>
      <c r="K11" s="2"/>
    </row>
    <row r="12" spans="1:27" x14ac:dyDescent="0.3">
      <c r="B12" s="1">
        <v>1</v>
      </c>
      <c r="L12" s="2"/>
    </row>
    <row r="13" spans="1:27" x14ac:dyDescent="0.3">
      <c r="B13" s="1">
        <v>1.1000000000000001</v>
      </c>
      <c r="M13" s="2"/>
    </row>
    <row r="14" spans="1:27" x14ac:dyDescent="0.3">
      <c r="B14" s="1">
        <v>1.2</v>
      </c>
      <c r="N14" s="2"/>
    </row>
    <row r="15" spans="1:27" x14ac:dyDescent="0.3">
      <c r="B15" s="1">
        <v>1.3</v>
      </c>
      <c r="O15" s="2"/>
    </row>
    <row r="16" spans="1:27" x14ac:dyDescent="0.3">
      <c r="B16" s="1">
        <v>1.4</v>
      </c>
      <c r="N16">
        <f>428-482</f>
        <v>-54</v>
      </c>
      <c r="P16" s="2"/>
    </row>
    <row r="17" spans="1:27" x14ac:dyDescent="0.3">
      <c r="B17" s="1">
        <v>1.5</v>
      </c>
      <c r="N17">
        <f>(252-206)*2</f>
        <v>92</v>
      </c>
      <c r="Q17" s="2"/>
    </row>
    <row r="18" spans="1:27" x14ac:dyDescent="0.3">
      <c r="B18" s="1">
        <v>1.6</v>
      </c>
      <c r="N18">
        <f>514-403</f>
        <v>111</v>
      </c>
      <c r="R18" s="2"/>
    </row>
    <row r="19" spans="1:27" x14ac:dyDescent="0.3">
      <c r="B19" s="1">
        <v>1.7</v>
      </c>
      <c r="S19" s="2"/>
    </row>
    <row r="20" spans="1:27" x14ac:dyDescent="0.3">
      <c r="B20" s="1">
        <v>1.8</v>
      </c>
      <c r="T20" s="2"/>
    </row>
    <row r="21" spans="1:27" x14ac:dyDescent="0.3">
      <c r="B21" s="1">
        <v>1.9</v>
      </c>
      <c r="N21">
        <f>(269-193)*2</f>
        <v>152</v>
      </c>
      <c r="U21" s="2"/>
    </row>
    <row r="22" spans="1:27" x14ac:dyDescent="0.3">
      <c r="B22" s="1">
        <v>2</v>
      </c>
      <c r="V22" s="2"/>
    </row>
    <row r="23" spans="1:27" x14ac:dyDescent="0.3">
      <c r="B23" s="1">
        <v>2.1</v>
      </c>
      <c r="W23" s="2"/>
    </row>
    <row r="24" spans="1:27" x14ac:dyDescent="0.3">
      <c r="B24" s="1">
        <v>2.2000000000000002</v>
      </c>
      <c r="X24" s="2"/>
    </row>
    <row r="25" spans="1:27" x14ac:dyDescent="0.3">
      <c r="B25" s="1">
        <v>2.2999999999999998</v>
      </c>
      <c r="Y25" s="2"/>
    </row>
    <row r="26" spans="1:27" x14ac:dyDescent="0.3">
      <c r="B26" s="1">
        <v>2.4</v>
      </c>
      <c r="Z26" s="2"/>
    </row>
    <row r="27" spans="1:27" x14ac:dyDescent="0.3">
      <c r="B27" s="1">
        <v>2.5</v>
      </c>
      <c r="AA27" s="2"/>
    </row>
    <row r="32" spans="1:27" x14ac:dyDescent="0.3">
      <c r="A32" t="s">
        <v>5</v>
      </c>
      <c r="C32" t="s">
        <v>9</v>
      </c>
      <c r="F32" t="s">
        <v>23</v>
      </c>
      <c r="G32" s="1"/>
      <c r="H32" t="s">
        <v>20</v>
      </c>
      <c r="J32" t="s">
        <v>24</v>
      </c>
      <c r="K32" s="1"/>
      <c r="L32" t="s">
        <v>20</v>
      </c>
    </row>
    <row r="33" spans="1:12" x14ac:dyDescent="0.3">
      <c r="A33" t="s">
        <v>7</v>
      </c>
      <c r="B33" s="1" t="s">
        <v>8</v>
      </c>
      <c r="F33" t="s">
        <v>7</v>
      </c>
      <c r="G33" s="1" t="s">
        <v>8</v>
      </c>
      <c r="H33" t="s">
        <v>21</v>
      </c>
      <c r="J33" t="s">
        <v>7</v>
      </c>
      <c r="K33" s="1" t="s">
        <v>8</v>
      </c>
      <c r="L33" t="s">
        <v>21</v>
      </c>
    </row>
    <row r="34" spans="1:12" x14ac:dyDescent="0.3">
      <c r="A34" t="s">
        <v>6</v>
      </c>
      <c r="B34" s="4" t="s">
        <v>17</v>
      </c>
      <c r="C34" t="s">
        <v>21</v>
      </c>
      <c r="F34" t="s">
        <v>6</v>
      </c>
      <c r="G34" s="8">
        <f>784-44</f>
        <v>740</v>
      </c>
      <c r="H34" t="s">
        <v>21</v>
      </c>
      <c r="J34" t="s">
        <v>6</v>
      </c>
      <c r="K34" s="8">
        <f>793-49</f>
        <v>744</v>
      </c>
      <c r="L34" t="s">
        <v>21</v>
      </c>
    </row>
    <row r="35" spans="1:12" x14ac:dyDescent="0.3">
      <c r="A35" t="s">
        <v>10</v>
      </c>
      <c r="B35" s="4" t="s">
        <v>17</v>
      </c>
      <c r="C35" t="s">
        <v>21</v>
      </c>
      <c r="F35" t="s">
        <v>10</v>
      </c>
      <c r="G35" s="8">
        <f>784-82</f>
        <v>702</v>
      </c>
      <c r="H35" t="s">
        <v>21</v>
      </c>
      <c r="J35" t="s">
        <v>10</v>
      </c>
      <c r="K35" s="8">
        <f>822-81</f>
        <v>741</v>
      </c>
      <c r="L35" t="s">
        <v>21</v>
      </c>
    </row>
    <row r="36" spans="1:12" x14ac:dyDescent="0.3">
      <c r="A36" t="s">
        <v>11</v>
      </c>
      <c r="B36" s="5" t="s">
        <v>16</v>
      </c>
      <c r="C36" t="s">
        <v>21</v>
      </c>
      <c r="F36" t="s">
        <v>11</v>
      </c>
      <c r="G36" s="8"/>
      <c r="H36" t="s">
        <v>21</v>
      </c>
      <c r="J36" t="s">
        <v>11</v>
      </c>
      <c r="K36" s="8">
        <f>626-204</f>
        <v>422</v>
      </c>
      <c r="L36" t="s">
        <v>21</v>
      </c>
    </row>
    <row r="37" spans="1:12" x14ac:dyDescent="0.3">
      <c r="A37" t="s">
        <v>13</v>
      </c>
      <c r="B37" s="6" t="s">
        <v>18</v>
      </c>
      <c r="C37" t="s">
        <v>21</v>
      </c>
      <c r="F37" t="s">
        <v>13</v>
      </c>
      <c r="G37" s="9"/>
      <c r="H37" t="s">
        <v>21</v>
      </c>
      <c r="J37" t="s">
        <v>13</v>
      </c>
      <c r="K37" s="9"/>
      <c r="L37" t="s">
        <v>21</v>
      </c>
    </row>
    <row r="38" spans="1:12" ht="14.75" thickBot="1" x14ac:dyDescent="0.35">
      <c r="A38" t="s">
        <v>14</v>
      </c>
      <c r="B38" s="7" t="s">
        <v>19</v>
      </c>
      <c r="C38" t="s">
        <v>21</v>
      </c>
      <c r="F38" t="s">
        <v>14</v>
      </c>
      <c r="G38" s="10"/>
      <c r="H38" t="s">
        <v>21</v>
      </c>
      <c r="J38" t="s">
        <v>14</v>
      </c>
      <c r="K38" s="10"/>
      <c r="L38" t="s">
        <v>21</v>
      </c>
    </row>
    <row r="39" spans="1:12" ht="15.3" thickTop="1" thickBot="1" x14ac:dyDescent="0.35">
      <c r="A39" t="s">
        <v>15</v>
      </c>
      <c r="B39" s="12" t="s">
        <v>22</v>
      </c>
      <c r="C39" t="s">
        <v>12</v>
      </c>
      <c r="F39" t="s">
        <v>15</v>
      </c>
      <c r="G39" s="11"/>
      <c r="H39" t="s">
        <v>21</v>
      </c>
      <c r="J39" t="s">
        <v>15</v>
      </c>
      <c r="K39" s="11"/>
      <c r="L39" t="s">
        <v>21</v>
      </c>
    </row>
    <row r="40" spans="1:12" ht="14.75" thickTop="1" x14ac:dyDescent="0.3"/>
    <row r="44" spans="1:12" x14ac:dyDescent="0.3">
      <c r="A44" t="s">
        <v>27</v>
      </c>
      <c r="B44" s="1" t="s">
        <v>26</v>
      </c>
    </row>
    <row r="45" spans="1:12" x14ac:dyDescent="0.3">
      <c r="A45" t="s">
        <v>25</v>
      </c>
      <c r="B45" s="3">
        <f>14-95</f>
        <v>-81</v>
      </c>
    </row>
    <row r="46" spans="1:12" x14ac:dyDescent="0.3">
      <c r="A46">
        <v>1.1000000000000001</v>
      </c>
      <c r="B46" s="3">
        <f>25-74</f>
        <v>-49</v>
      </c>
    </row>
    <row r="47" spans="1:12" x14ac:dyDescent="0.3">
      <c r="A47">
        <v>1.2</v>
      </c>
      <c r="B47" s="1">
        <f>32-77</f>
        <v>-45</v>
      </c>
    </row>
    <row r="48" spans="1:12" x14ac:dyDescent="0.3">
      <c r="A48">
        <v>1.3</v>
      </c>
      <c r="B48" s="1">
        <f>33-76</f>
        <v>-43</v>
      </c>
    </row>
    <row r="49" spans="1:2" x14ac:dyDescent="0.3">
      <c r="A49">
        <v>1.4</v>
      </c>
      <c r="B49" s="1">
        <f>(56+16)/182</f>
        <v>0.39560439560439559</v>
      </c>
    </row>
    <row r="50" spans="1:2" x14ac:dyDescent="0.3">
      <c r="A50">
        <v>1.5</v>
      </c>
      <c r="B50" s="1">
        <f>(73+12)/216</f>
        <v>0.39351851851851855</v>
      </c>
    </row>
    <row r="51" spans="1:2" x14ac:dyDescent="0.3">
      <c r="A51">
        <v>1.6</v>
      </c>
      <c r="B51" s="1">
        <f>(85+14)/201</f>
        <v>0.4925373134328358</v>
      </c>
    </row>
    <row r="52" spans="1:2" x14ac:dyDescent="0.3">
      <c r="A52">
        <v>1.7</v>
      </c>
      <c r="B52" s="1">
        <f>(87+19)/206</f>
        <v>0.5145631067961165</v>
      </c>
    </row>
    <row r="53" spans="1:2" x14ac:dyDescent="0.3">
      <c r="A53">
        <v>1.8</v>
      </c>
      <c r="B53" s="1">
        <f>(222+95/2)/560</f>
        <v>0.48125000000000001</v>
      </c>
    </row>
    <row r="54" spans="1:2" x14ac:dyDescent="0.3">
      <c r="A54">
        <v>1.9</v>
      </c>
      <c r="B54" s="1">
        <f>(397+93)/1000</f>
        <v>0.49</v>
      </c>
    </row>
    <row r="55" spans="1:2" x14ac:dyDescent="0.3">
      <c r="A55">
        <v>2</v>
      </c>
      <c r="B55" s="1">
        <v>0.5</v>
      </c>
    </row>
    <row r="57" spans="1:2" x14ac:dyDescent="0.3">
      <c r="B57" s="1">
        <v>2</v>
      </c>
    </row>
    <row r="58" spans="1:2" x14ac:dyDescent="0.3">
      <c r="A58">
        <v>2.1</v>
      </c>
    </row>
    <row r="60" spans="1:2" x14ac:dyDescent="0.3">
      <c r="A60" t="s">
        <v>28</v>
      </c>
      <c r="B60" s="1">
        <v>2</v>
      </c>
    </row>
    <row r="61" spans="1:2" x14ac:dyDescent="0.3">
      <c r="A61">
        <v>2.1</v>
      </c>
      <c r="B61" s="1">
        <v>0.49</v>
      </c>
    </row>
    <row r="62" spans="1:2" x14ac:dyDescent="0.3">
      <c r="A62">
        <v>2.2000000000000002</v>
      </c>
      <c r="B62" s="1">
        <v>0.49</v>
      </c>
    </row>
    <row r="64" spans="1:2" x14ac:dyDescent="0.3">
      <c r="A64" t="s">
        <v>29</v>
      </c>
    </row>
    <row r="65" spans="1:4" x14ac:dyDescent="0.3">
      <c r="A65">
        <v>1.8</v>
      </c>
      <c r="B65" s="1">
        <f>(315+157/2)/755</f>
        <v>0.52119205298013249</v>
      </c>
    </row>
    <row r="67" spans="1:4" x14ac:dyDescent="0.3">
      <c r="A67" t="s">
        <v>30</v>
      </c>
      <c r="B67" s="1" t="s">
        <v>31</v>
      </c>
      <c r="C67" s="1" t="s">
        <v>32</v>
      </c>
      <c r="D67" t="s">
        <v>33</v>
      </c>
    </row>
    <row r="68" spans="1:4" x14ac:dyDescent="0.3">
      <c r="A68">
        <v>2.1</v>
      </c>
      <c r="B68" s="1">
        <f>(112+22)/252</f>
        <v>0.53174603174603174</v>
      </c>
      <c r="C68" s="1">
        <f>(95+25)/312</f>
        <v>0.38461538461538464</v>
      </c>
      <c r="D68">
        <v>312</v>
      </c>
    </row>
    <row r="69" spans="1:4" x14ac:dyDescent="0.3">
      <c r="A69">
        <v>0.1</v>
      </c>
      <c r="C69">
        <f>(117+32)/329</f>
        <v>0.45288753799392095</v>
      </c>
      <c r="D69">
        <v>329</v>
      </c>
    </row>
    <row r="70" spans="1:4" x14ac:dyDescent="0.3">
      <c r="A70">
        <v>0.2</v>
      </c>
      <c r="C70">
        <f>(101+24)/250</f>
        <v>0.5</v>
      </c>
      <c r="D70">
        <v>250</v>
      </c>
    </row>
    <row r="71" spans="1:4" x14ac:dyDescent="0.3">
      <c r="A71">
        <v>0.3</v>
      </c>
      <c r="C71">
        <f>(159+30)/369</f>
        <v>0.51219512195121952</v>
      </c>
    </row>
    <row r="73" spans="1:4" x14ac:dyDescent="0.3">
      <c r="A73" s="1" t="s">
        <v>34</v>
      </c>
      <c r="B73" s="1">
        <v>0.3</v>
      </c>
    </row>
    <row r="74" spans="1:4" x14ac:dyDescent="0.3">
      <c r="A74">
        <v>0.4</v>
      </c>
      <c r="B74" s="1" t="s">
        <v>35</v>
      </c>
    </row>
  </sheetData>
  <phoneticPr fontId="1" type="noConversion"/>
  <conditionalFormatting sqref="C32:E39 H32:I39 L32:L39">
    <cfRule type="colorScale" priority="3">
      <colorScale>
        <cfvo type="num" val="-650"/>
        <cfvo type="num" val="0"/>
        <cfvo type="num" val="650"/>
        <color rgb="FFA20000"/>
        <color rgb="FFFFFF3B"/>
        <color rgb="FF0F9325"/>
      </colorScale>
    </cfRule>
  </conditionalFormatting>
  <conditionalFormatting sqref="C9:Q9 S9:DB9 C8:DB8 S3:DB7 C3:Q7 C30:Q31 C10:DB20 N27 C22:M29 O22:Q29 C21:Q21 C40:DB67 S21:DB34 M32:Q34 M35:DB39 C154:DB732 C118:C153 E68:DB153">
    <cfRule type="colorScale" priority="6">
      <colorScale>
        <cfvo type="num" val="-650"/>
        <cfvo type="num" val="0"/>
        <cfvo type="num" val="650"/>
        <color rgb="FFA20000"/>
        <color rgb="FFFFFF3B"/>
        <color rgb="FF0F9325"/>
      </colorScale>
    </cfRule>
  </conditionalFormatting>
  <conditionalFormatting sqref="G34:G39">
    <cfRule type="colorScale" priority="2">
      <colorScale>
        <cfvo type="num" val="-1000"/>
        <cfvo type="num" val="0"/>
        <cfvo type="num" val="1000"/>
        <color rgb="FFA20000"/>
        <color rgb="FFFFFF3B"/>
        <color rgb="FF0F9325"/>
      </colorScale>
    </cfRule>
  </conditionalFormatting>
  <conditionalFormatting sqref="K34:K39">
    <cfRule type="colorScale" priority="1">
      <colorScale>
        <cfvo type="num" val="-1000"/>
        <cfvo type="num" val="0"/>
        <cfvo type="num" val="1000"/>
        <color rgb="FFA20000"/>
        <color rgb="FFFFFF3B"/>
        <color rgb="FF0F9325"/>
      </colorScale>
    </cfRule>
  </conditionalFormatting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Templestowe College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Rohan RICHARDSON</dc:creator>
  <cp:lastModifiedBy>Rohan RICHARDSON</cp:lastModifiedBy>
  <dcterms:created xsi:type="dcterms:W3CDTF">2024-08-07T23:45:51Z</dcterms:created>
  <dcterms:modified xsi:type="dcterms:W3CDTF">2026-01-18T14:39:42Z</dcterms:modified>
</cp:coreProperties>
</file>